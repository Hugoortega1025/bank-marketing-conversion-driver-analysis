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gment - Life Stage" sheetId="2" state="visible" r:id="rId2"/>
    <sheet xmlns:r="http://schemas.openxmlformats.org/officeDocument/2006/relationships" name="Prior Contact History" sheetId="3" state="visible" r:id="rId3"/>
    <sheet xmlns:r="http://schemas.openxmlformats.org/officeDocument/2006/relationships" name="Call Efficiency" sheetId="4" state="visible" r:id="rId4"/>
    <sheet xmlns:r="http://schemas.openxmlformats.org/officeDocument/2006/relationships" name="Economic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i val="1"/>
      <color rgb="00808080"/>
      <sz val="12"/>
    </font>
    <font>
      <name val="Arial"/>
      <b val="1"/>
    </font>
    <font>
      <name val="Arial"/>
      <b val="1"/>
      <color rgb="001F4E79"/>
    </font>
    <font>
      <name val="Arial"/>
      <b val="1"/>
      <color rgb="001F4E79"/>
      <sz val="14"/>
    </font>
    <font>
      <name val="Arial"/>
      <sz val="11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6" fillId="0" borderId="1" pivotButton="0" quotePrefix="0" xfId="0"/>
    <xf numFmtId="3" fontId="6" fillId="0" borderId="1" pivotButton="0" quotePrefix="0" xfId="0"/>
    <xf numFmtId="10" fontId="6" fillId="0" borderId="1" pivotButton="0" quotePrefix="0" xfId="0"/>
    <xf numFmtId="10" fontId="0" fillId="0" borderId="0" pivotButton="0" quotePrefix="0" xfId="0"/>
    <xf numFmtId="0" fontId="6" fillId="0" borderId="0" pivotButton="0" quotePrefix="0" xfId="0"/>
    <xf numFmtId="3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Job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- Life Stage'!E5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'Segment - Life Stage'!$B$6:$B$17</f>
            </numRef>
          </cat>
          <val>
            <numRef>
              <f>'Segment - Life Stage'!$E$6:$E$17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'Segment - Life Stage'!H5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'Segment - Life Stage'!$H$6:$H$17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Age Bracket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 - Life Stage'!E21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'Segment - Life Stage'!$B$22:$B$27</f>
            </numRef>
          </cat>
          <val>
            <numRef>
              <f>'Segment - Life Stage'!$E$22:$E$27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'Segment - Life Stage'!H21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'Segment - Life Stage'!$H$22:$H$27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Previous Outcome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'Prior Contact History'!E5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'Prior Contact History'!$B$6:$B$8</f>
            </numRef>
          </cat>
          <val>
            <numRef>
              <f>'Prior Contact History'!$E$6:$E$8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'Prior Contact History'!H5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'Prior Contact History'!$H$6:$H$8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Touch Bin</a:t>
            </a:r>
          </a:p>
        </rich>
      </tx>
    </title>
    <plotArea>
      <lineChart>
        <grouping val="standard"/>
        <ser>
          <idx val="0"/>
          <order val="0"/>
          <tx>
            <strRef>
              <f>'Call Efficiency'!E5</f>
            </strRef>
          </tx>
          <spPr>
            <a:ln xmlns:a="http://schemas.openxmlformats.org/drawingml/2006/main" w="25000">
              <a:solidFill>
                <a:srgbClr val="1F4E79"/>
              </a:solidFill>
              <a:prstDash val="solid"/>
            </a:ln>
          </spPr>
          <marker>
            <symbol val="circle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marker>
          <cat>
            <numRef>
              <f>'Call Efficiency'!$B$6:$B$10</f>
            </numRef>
          </cat>
          <val>
            <numRef>
              <f>'Call Efficiency'!$E$6:$E$10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Euribor Quartile (contact-weighted)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'Economic Conditions'!E5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'Economic Conditions'!$B$6:$B$9</f>
            </numRef>
          </cat>
          <val>
            <numRef>
              <f>'Economic Conditions'!$E$6:$E$9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'Economic Conditions'!H5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'Economic Conditions'!$H$6:$H$9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Employment Variation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'Economic Conditions'!E13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'Economic Conditions'!$B$14:$B$15</f>
            </numRef>
          </cat>
          <val>
            <numRef>
              <f>'Economic Conditions'!$E$14:$E$15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'Economic Conditions'!H13</f>
            </strRef>
          </tx>
          <spPr>
            <a:ln xmlns:a="http://schemas.openxmlformats.org/drawingml/2006/main" w="20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'Economic Conditions'!$H$14:$H$15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Bank Term Deposit Campaign Targeting</t>
        </is>
      </c>
    </row>
    <row r="3">
      <c r="B3" s="2" t="inlineStr">
        <is>
          <t>Marketing Analytics — Segment &amp; Efficiency Findings</t>
        </is>
      </c>
    </row>
    <row r="5">
      <c r="B5" s="3" t="inlineStr">
        <is>
          <t>Overall baseline conversion rate:</t>
        </is>
      </c>
      <c r="C5" s="4" t="n">
        <v>0.1127</v>
      </c>
    </row>
    <row r="7">
      <c r="B7" s="5" t="inlineStr">
        <is>
          <t>Main Conclusion</t>
        </is>
      </c>
    </row>
    <row r="8">
      <c r="B8" s="6" t="inlineStr">
        <is>
          <t>Prioritize customers by life-stage and prior contact history, cap outreach at 3 attempts per lead, and treat economic conditions as a campaign-timing decision rather than a per-customer targeting filter.</t>
        </is>
      </c>
    </row>
    <row r="9"/>
    <row r="10"/>
    <row r="12">
      <c r="B12" s="5" t="inlineStr">
        <is>
          <t>Supporting Findings</t>
        </is>
      </c>
    </row>
    <row r="13" ht="30" customHeight="1">
      <c r="B13" s="7" t="inlineStr">
        <is>
          <t>Who: life-stage</t>
        </is>
      </c>
      <c r="C13" s="6" t="inlineStr">
        <is>
          <t>Students, retirees, and 18-25/66+ age brackets convert 2-4x baseline; core working-age population converts below baseline.</t>
        </is>
      </c>
    </row>
    <row r="15" ht="30" customHeight="1">
      <c r="B15" s="7" t="inlineStr">
        <is>
          <t>Who: prior contact</t>
        </is>
      </c>
      <c r="C15" s="6" t="inlineStr">
        <is>
          <t>Prior success converts at 65.1%, prior failure at 14.2%, vs. 8.8% for a customer never contacted before.</t>
        </is>
      </c>
    </row>
    <row r="17" ht="30" customHeight="1">
      <c r="B17" s="7" t="inlineStr">
        <is>
          <t>How much: touch cap</t>
        </is>
      </c>
      <c r="C17" s="6" t="inlineStr">
        <is>
          <t>Capping outreach at 3 touches cuts 18.5% of call volume while forgoing only 12.0% of conversions — an estimated $38,170 saved at a cited $5/call industry estimate.</t>
        </is>
      </c>
    </row>
    <row r="19" ht="30" customHeight="1">
      <c r="B19" s="7" t="inlineStr">
        <is>
          <t>When: economic conditions</t>
        </is>
      </c>
      <c r="C19" s="6" t="inlineStr">
        <is>
          <t>Conversion was far higher during weaker-economy periods (25.4% in the lowest Euribor quartile vs. 5-8% elsewhere; 20.6% during declining employment vs. 4.6% during growth).</t>
        </is>
      </c>
    </row>
    <row r="22">
      <c r="B22" s="8" t="inlineStr">
        <is>
          <t>See tabs: Segment - Life Stage | Prior Contact History | Call Efficiency | Economic Conditions</t>
        </is>
      </c>
    </row>
    <row r="23">
      <c r="B23" s="8" t="inlineStr">
        <is>
          <t>$5/call cost assumption: cited industry estimate, not derived from this dataset. Source: https://voiso.com/articles/call-center-cost-per-call/</t>
        </is>
      </c>
    </row>
  </sheetData>
  <mergeCells count="5">
    <mergeCell ref="C19:H19"/>
    <mergeCell ref="C13:H13"/>
    <mergeCell ref="B8:H10"/>
    <mergeCell ref="C17:H17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7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</cols>
  <sheetData>
    <row r="2">
      <c r="B2" s="5" t="inlineStr">
        <is>
          <t>Conversion Rate by Life-Stage Segment</t>
        </is>
      </c>
    </row>
    <row r="3">
      <c r="B3" s="8" t="inlineStr">
        <is>
          <t>job, education, marital status, and age bracket all trace the same underlying pattern</t>
        </is>
      </c>
    </row>
    <row r="5">
      <c r="A5" s="9" t="n"/>
      <c r="B5" s="9" t="inlineStr">
        <is>
          <t>Job</t>
        </is>
      </c>
      <c r="C5" s="9" t="inlineStr">
        <is>
          <t>Contacts</t>
        </is>
      </c>
      <c r="D5" s="9" t="inlineStr">
        <is>
          <t>Conversions</t>
        </is>
      </c>
      <c r="E5" t="inlineStr">
        <is>
          <t>Conversion Rate</t>
        </is>
      </c>
      <c r="H5" t="inlineStr">
        <is>
          <t>Baseline (11.27%)</t>
        </is>
      </c>
    </row>
    <row r="6">
      <c r="B6" s="10" t="inlineStr">
        <is>
          <t>student</t>
        </is>
      </c>
      <c r="C6" s="11" t="n">
        <v>875</v>
      </c>
      <c r="D6" s="11" t="n">
        <v>275</v>
      </c>
      <c r="E6" s="12" t="n">
        <v>0.3143</v>
      </c>
      <c r="H6" s="13" t="n">
        <v>0.1127</v>
      </c>
    </row>
    <row r="7">
      <c r="B7" s="10" t="inlineStr">
        <is>
          <t>retired</t>
        </is>
      </c>
      <c r="C7" s="11" t="n">
        <v>1718</v>
      </c>
      <c r="D7" s="11" t="n">
        <v>434</v>
      </c>
      <c r="E7" s="12" t="n">
        <v>0.2526</v>
      </c>
      <c r="H7" s="13" t="n">
        <v>0.1127</v>
      </c>
    </row>
    <row r="8">
      <c r="B8" s="10" t="inlineStr">
        <is>
          <t>unemployed</t>
        </is>
      </c>
      <c r="C8" s="11" t="n">
        <v>1014</v>
      </c>
      <c r="D8" s="11" t="n">
        <v>144</v>
      </c>
      <c r="E8" s="12" t="n">
        <v>0.142</v>
      </c>
      <c r="H8" s="13" t="n">
        <v>0.1127</v>
      </c>
    </row>
    <row r="9">
      <c r="B9" s="10" t="inlineStr">
        <is>
          <t>admin.</t>
        </is>
      </c>
      <c r="C9" s="11" t="n">
        <v>10419</v>
      </c>
      <c r="D9" s="11" t="n">
        <v>1351</v>
      </c>
      <c r="E9" s="12" t="n">
        <v>0.1297</v>
      </c>
      <c r="H9" s="13" t="n">
        <v>0.1127</v>
      </c>
    </row>
    <row r="10">
      <c r="B10" s="10" t="inlineStr">
        <is>
          <t>management</t>
        </is>
      </c>
      <c r="C10" s="11" t="n">
        <v>2924</v>
      </c>
      <c r="D10" s="11" t="n">
        <v>328</v>
      </c>
      <c r="E10" s="12" t="n">
        <v>0.1122</v>
      </c>
      <c r="H10" s="13" t="n">
        <v>0.1127</v>
      </c>
    </row>
    <row r="11">
      <c r="B11" s="10" t="inlineStr">
        <is>
          <t>unknown</t>
        </is>
      </c>
      <c r="C11" s="11" t="n">
        <v>330</v>
      </c>
      <c r="D11" s="11" t="n">
        <v>37</v>
      </c>
      <c r="E11" s="12" t="n">
        <v>0.1121</v>
      </c>
      <c r="H11" s="13" t="n">
        <v>0.1127</v>
      </c>
    </row>
    <row r="12">
      <c r="B12" s="10" t="inlineStr">
        <is>
          <t>technician</t>
        </is>
      </c>
      <c r="C12" s="11" t="n">
        <v>6739</v>
      </c>
      <c r="D12" s="11" t="n">
        <v>730</v>
      </c>
      <c r="E12" s="12" t="n">
        <v>0.1083</v>
      </c>
      <c r="H12" s="13" t="n">
        <v>0.1127</v>
      </c>
    </row>
    <row r="13">
      <c r="B13" s="10" t="inlineStr">
        <is>
          <t>self-employed</t>
        </is>
      </c>
      <c r="C13" s="11" t="n">
        <v>1421</v>
      </c>
      <c r="D13" s="11" t="n">
        <v>149</v>
      </c>
      <c r="E13" s="12" t="n">
        <v>0.1049</v>
      </c>
      <c r="H13" s="13" t="n">
        <v>0.1127</v>
      </c>
    </row>
    <row r="14">
      <c r="B14" s="10" t="inlineStr">
        <is>
          <t>housemaid</t>
        </is>
      </c>
      <c r="C14" s="11" t="n">
        <v>1060</v>
      </c>
      <c r="D14" s="11" t="n">
        <v>106</v>
      </c>
      <c r="E14" s="12" t="n">
        <v>0.1</v>
      </c>
      <c r="H14" s="13" t="n">
        <v>0.1127</v>
      </c>
    </row>
    <row r="15">
      <c r="B15" s="10" t="inlineStr">
        <is>
          <t>entrepreneur</t>
        </is>
      </c>
      <c r="C15" s="11" t="n">
        <v>1456</v>
      </c>
      <c r="D15" s="11" t="n">
        <v>124</v>
      </c>
      <c r="E15" s="12" t="n">
        <v>0.0852</v>
      </c>
      <c r="H15" s="13" t="n">
        <v>0.1127</v>
      </c>
    </row>
    <row r="16">
      <c r="B16" s="10" t="inlineStr">
        <is>
          <t>services</t>
        </is>
      </c>
      <c r="C16" s="11" t="n">
        <v>3967</v>
      </c>
      <c r="D16" s="11" t="n">
        <v>323</v>
      </c>
      <c r="E16" s="12" t="n">
        <v>0.0814</v>
      </c>
      <c r="H16" s="13" t="n">
        <v>0.1127</v>
      </c>
    </row>
    <row r="17">
      <c r="B17" s="10" t="inlineStr">
        <is>
          <t>blue-collar</t>
        </is>
      </c>
      <c r="C17" s="11" t="n">
        <v>9253</v>
      </c>
      <c r="D17" s="11" t="n">
        <v>638</v>
      </c>
      <c r="E17" s="12" t="n">
        <v>0.06900000000000001</v>
      </c>
      <c r="H17" s="13" t="n">
        <v>0.1127</v>
      </c>
    </row>
    <row r="21">
      <c r="A21" s="9" t="n"/>
      <c r="B21" s="9" t="inlineStr">
        <is>
          <t>Age Bracket</t>
        </is>
      </c>
      <c r="C21" s="9" t="inlineStr">
        <is>
          <t>Contacts</t>
        </is>
      </c>
      <c r="D21" s="9" t="inlineStr">
        <is>
          <t>Conversions</t>
        </is>
      </c>
      <c r="E21" t="inlineStr">
        <is>
          <t>Conversion Rate</t>
        </is>
      </c>
      <c r="H21" t="inlineStr">
        <is>
          <t>Baseline (11.27%)</t>
        </is>
      </c>
    </row>
    <row r="22">
      <c r="B22" s="10" t="inlineStr">
        <is>
          <t>66+</t>
        </is>
      </c>
      <c r="C22" s="11" t="n">
        <v>618</v>
      </c>
      <c r="D22" s="11" t="n">
        <v>290</v>
      </c>
      <c r="E22" s="12" t="n">
        <v>0.4693</v>
      </c>
      <c r="H22" s="13" t="n">
        <v>0.1127</v>
      </c>
    </row>
    <row r="23">
      <c r="B23" s="10" t="inlineStr">
        <is>
          <t>18-25</t>
        </is>
      </c>
      <c r="C23" s="11" t="n">
        <v>1660</v>
      </c>
      <c r="D23" s="11" t="n">
        <v>347</v>
      </c>
      <c r="E23" s="12" t="n">
        <v>0.209</v>
      </c>
      <c r="H23" s="13" t="n">
        <v>0.1127</v>
      </c>
    </row>
    <row r="24">
      <c r="B24" s="10" t="inlineStr">
        <is>
          <t>56-65</t>
        </is>
      </c>
      <c r="C24" s="11" t="n">
        <v>2963</v>
      </c>
      <c r="D24" s="11" t="n">
        <v>451</v>
      </c>
      <c r="E24" s="12" t="n">
        <v>0.1522</v>
      </c>
      <c r="H24" s="13" t="n">
        <v>0.1127</v>
      </c>
    </row>
    <row r="25">
      <c r="B25" s="10" t="inlineStr">
        <is>
          <t>26-35</t>
        </is>
      </c>
      <c r="C25" s="11" t="n">
        <v>14844</v>
      </c>
      <c r="D25" s="11" t="n">
        <v>1740</v>
      </c>
      <c r="E25" s="12" t="n">
        <v>0.1172</v>
      </c>
      <c r="H25" s="13" t="n">
        <v>0.1127</v>
      </c>
    </row>
    <row r="26">
      <c r="B26" s="10" t="inlineStr">
        <is>
          <t>46-55</t>
        </is>
      </c>
      <c r="C26" s="11" t="n">
        <v>8247</v>
      </c>
      <c r="D26" s="11" t="n">
        <v>717</v>
      </c>
      <c r="E26" s="12" t="n">
        <v>0.08690000000000001</v>
      </c>
      <c r="H26" s="13" t="n">
        <v>0.1127</v>
      </c>
    </row>
    <row r="27">
      <c r="B27" s="10" t="inlineStr">
        <is>
          <t>36-45</t>
        </is>
      </c>
      <c r="C27" s="11" t="n">
        <v>12839</v>
      </c>
      <c r="D27" s="11" t="n">
        <v>1092</v>
      </c>
      <c r="E27" s="12" t="n">
        <v>0.0851</v>
      </c>
      <c r="H27" s="13" t="n">
        <v>0.1127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8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Conversion Rate by Prior Campaign Outcome</t>
        </is>
      </c>
    </row>
    <row r="3">
      <c r="B3" s="8" t="inlineStr">
        <is>
          <t>Strongest signal found — any prior contact beats a cold contact</t>
        </is>
      </c>
    </row>
    <row r="5">
      <c r="A5" s="9" t="n"/>
      <c r="B5" s="9" t="inlineStr">
        <is>
          <t>Previous Outcome</t>
        </is>
      </c>
      <c r="C5" s="9" t="inlineStr">
        <is>
          <t>Contacts</t>
        </is>
      </c>
      <c r="D5" s="9" t="inlineStr">
        <is>
          <t>Conversions</t>
        </is>
      </c>
      <c r="E5" t="inlineStr">
        <is>
          <t>Conversion Rate</t>
        </is>
      </c>
      <c r="H5" t="inlineStr">
        <is>
          <t>Baseline (11.27%)</t>
        </is>
      </c>
    </row>
    <row r="6">
      <c r="B6" s="10" t="inlineStr">
        <is>
          <t>nonexistent</t>
        </is>
      </c>
      <c r="C6" s="11" t="n">
        <v>35551</v>
      </c>
      <c r="D6" s="11" t="n">
        <v>3140</v>
      </c>
      <c r="E6" s="12" t="n">
        <v>0.0883</v>
      </c>
      <c r="H6" s="13" t="n">
        <v>0.1127</v>
      </c>
    </row>
    <row r="7">
      <c r="B7" s="10" t="inlineStr">
        <is>
          <t>failure</t>
        </is>
      </c>
      <c r="C7" s="11" t="n">
        <v>4252</v>
      </c>
      <c r="D7" s="11" t="n">
        <v>605</v>
      </c>
      <c r="E7" s="12" t="n">
        <v>0.1423</v>
      </c>
      <c r="H7" s="13" t="n">
        <v>0.1127</v>
      </c>
    </row>
    <row r="8">
      <c r="B8" s="10" t="inlineStr">
        <is>
          <t>success</t>
        </is>
      </c>
      <c r="C8" s="11" t="n">
        <v>1373</v>
      </c>
      <c r="D8" s="11" t="n">
        <v>894</v>
      </c>
      <c r="E8" s="12" t="n">
        <v>0.6511</v>
      </c>
      <c r="H8" s="13" t="n">
        <v>0.1127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2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</cols>
  <sheetData>
    <row r="2">
      <c r="B2" s="5" t="inlineStr">
        <is>
          <t>Conversion Rate by Number of Touches</t>
        </is>
      </c>
    </row>
    <row r="3">
      <c r="B3" s="8" t="inlineStr">
        <is>
          <t>Conversion declines steadily after the first few attempts</t>
        </is>
      </c>
    </row>
    <row r="5">
      <c r="A5" s="9" t="n"/>
      <c r="B5" s="9" t="inlineStr">
        <is>
          <t>Touch Bin</t>
        </is>
      </c>
      <c r="C5" s="9" t="inlineStr">
        <is>
          <t>Contacts</t>
        </is>
      </c>
      <c r="D5" s="9" t="inlineStr">
        <is>
          <t>Conversions</t>
        </is>
      </c>
      <c r="E5" t="inlineStr">
        <is>
          <t>Conversion Rate</t>
        </is>
      </c>
    </row>
    <row r="6">
      <c r="B6" s="10" t="inlineStr">
        <is>
          <t>1</t>
        </is>
      </c>
      <c r="C6" s="11" t="n">
        <v>17634</v>
      </c>
      <c r="D6" s="11" t="n">
        <v>2299</v>
      </c>
      <c r="E6" s="12" t="n">
        <v>0.1304</v>
      </c>
    </row>
    <row r="7">
      <c r="B7" s="10" t="inlineStr">
        <is>
          <t>2-3</t>
        </is>
      </c>
      <c r="C7" s="11" t="n">
        <v>15908</v>
      </c>
      <c r="D7" s="11" t="n">
        <v>1785</v>
      </c>
      <c r="E7" s="12" t="n">
        <v>0.1122</v>
      </c>
    </row>
    <row r="8">
      <c r="B8" s="10" t="inlineStr">
        <is>
          <t>4-5</t>
        </is>
      </c>
      <c r="C8" s="11" t="n">
        <v>4249</v>
      </c>
      <c r="D8" s="11" t="n">
        <v>369</v>
      </c>
      <c r="E8" s="12" t="n">
        <v>0.0868</v>
      </c>
    </row>
    <row r="9">
      <c r="B9" s="10" t="inlineStr">
        <is>
          <t>6-7</t>
        </is>
      </c>
      <c r="C9" s="11" t="n">
        <v>1608</v>
      </c>
      <c r="D9" s="11" t="n">
        <v>113</v>
      </c>
      <c r="E9" s="12" t="n">
        <v>0.0703</v>
      </c>
    </row>
    <row r="10">
      <c r="B10" s="10" t="inlineStr">
        <is>
          <t>8+</t>
        </is>
      </c>
      <c r="C10" s="11" t="n">
        <v>1777</v>
      </c>
      <c r="D10" s="11" t="n">
        <v>73</v>
      </c>
      <c r="E10" s="12" t="n">
        <v>0.0411</v>
      </c>
    </row>
    <row r="14">
      <c r="B14" s="5" t="inlineStr">
        <is>
          <t>Cost / Efficiency Estimate: Capping Outreach at 3 Touches</t>
        </is>
      </c>
    </row>
    <row r="15">
      <c r="B15" s="14" t="inlineStr">
        <is>
          <t>Calls eliminated (campaign_number &gt;= 4)</t>
        </is>
      </c>
      <c r="D15" s="15" t="n">
        <v>7634</v>
      </c>
    </row>
    <row r="16">
      <c r="B16" s="14" t="inlineStr">
        <is>
          <t>% of total call volume eliminated</t>
        </is>
      </c>
      <c r="D16" s="4" t="n">
        <v>0.1854</v>
      </c>
    </row>
    <row r="17">
      <c r="B17" s="14" t="inlineStr">
        <is>
          <t>Conversions forgone</t>
        </is>
      </c>
      <c r="D17" s="15" t="n">
        <v>555</v>
      </c>
    </row>
    <row r="18">
      <c r="B18" s="14" t="inlineStr">
        <is>
          <t>% of total conversions forgone</t>
        </is>
      </c>
      <c r="D18" s="4" t="n">
        <v>0.1196</v>
      </c>
    </row>
    <row r="19">
      <c r="B19" s="14" t="inlineStr">
        <is>
          <t>Cost per call (cited industry estimate)</t>
        </is>
      </c>
      <c r="D19" s="16" t="n">
        <v>5</v>
      </c>
    </row>
    <row r="20">
      <c r="B20" s="14" t="inlineStr">
        <is>
          <t>Estimated cost savings</t>
        </is>
      </c>
      <c r="D20" s="16" t="n">
        <v>38170</v>
      </c>
    </row>
    <row r="22">
      <c r="B22" s="8" t="inlineStr">
        <is>
          <t>$5/call is a cited industry estimate (not derived from this dataset). Source: https://voiso.com/articles/call-center-cost-per-call/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</cols>
  <sheetData>
    <row r="2">
      <c r="B2" s="5" t="inlineStr">
        <is>
          <t>Conversion Rate by Economic Conditions</t>
        </is>
      </c>
    </row>
    <row r="3">
      <c r="B3" s="8" t="inlineStr">
        <is>
          <t>Conversion is markedly higher during weaker-economy periods</t>
        </is>
      </c>
    </row>
    <row r="5">
      <c r="A5" s="9" t="n"/>
      <c r="B5" s="9" t="inlineStr">
        <is>
          <t>Euribor Quartile</t>
        </is>
      </c>
      <c r="C5" s="9" t="inlineStr">
        <is>
          <t>Contacts</t>
        </is>
      </c>
      <c r="D5" s="9" t="inlineStr">
        <is>
          <t>Conversions</t>
        </is>
      </c>
      <c r="E5" t="inlineStr">
        <is>
          <t>Conversion Rate</t>
        </is>
      </c>
      <c r="H5" t="inlineStr">
        <is>
          <t>Baseline (11.27%)</t>
        </is>
      </c>
    </row>
    <row r="6">
      <c r="B6" s="10" t="inlineStr">
        <is>
          <t>Q1 (low rate)</t>
        </is>
      </c>
      <c r="C6" s="11" t="n">
        <v>10540</v>
      </c>
      <c r="D6" s="11" t="n">
        <v>2675</v>
      </c>
      <c r="E6" s="12" t="n">
        <v>0.2538</v>
      </c>
      <c r="H6" s="13" t="n">
        <v>0.1127</v>
      </c>
    </row>
    <row r="7">
      <c r="B7" s="10" t="inlineStr">
        <is>
          <t>Q2</t>
        </is>
      </c>
      <c r="C7" s="11" t="n">
        <v>11509</v>
      </c>
      <c r="D7" s="11" t="n">
        <v>950</v>
      </c>
      <c r="E7" s="12" t="n">
        <v>0.0825</v>
      </c>
      <c r="H7" s="13" t="n">
        <v>0.1127</v>
      </c>
    </row>
    <row r="8">
      <c r="B8" s="10" t="inlineStr">
        <is>
          <t>Q3</t>
        </is>
      </c>
      <c r="C8" s="11" t="n">
        <v>9342</v>
      </c>
      <c r="D8" s="11" t="n">
        <v>475</v>
      </c>
      <c r="E8" s="12" t="n">
        <v>0.0508</v>
      </c>
      <c r="H8" s="13" t="n">
        <v>0.1127</v>
      </c>
    </row>
    <row r="9">
      <c r="B9" s="10" t="inlineStr">
        <is>
          <t>Q4 (high rate)</t>
        </is>
      </c>
      <c r="C9" s="11" t="n">
        <v>9785</v>
      </c>
      <c r="D9" s="11" t="n">
        <v>539</v>
      </c>
      <c r="E9" s="12" t="n">
        <v>0.0551</v>
      </c>
      <c r="H9" s="13" t="n">
        <v>0.1127</v>
      </c>
    </row>
    <row r="13">
      <c r="A13" s="9" t="n"/>
      <c r="B13" s="9" t="inlineStr">
        <is>
          <t>Emp Var Bin</t>
        </is>
      </c>
      <c r="C13" s="9" t="inlineStr">
        <is>
          <t>Contacts</t>
        </is>
      </c>
      <c r="D13" s="9" t="inlineStr">
        <is>
          <t>Conversions</t>
        </is>
      </c>
      <c r="E13" t="inlineStr">
        <is>
          <t>Conversion Rate</t>
        </is>
      </c>
      <c r="H13" t="inlineStr">
        <is>
          <t>Baseline (11.27%)</t>
        </is>
      </c>
    </row>
    <row r="14">
      <c r="B14" s="10" t="inlineStr">
        <is>
          <t>Negative (employment declining)</t>
        </is>
      </c>
      <c r="C14" s="11" t="n">
        <v>17186</v>
      </c>
      <c r="D14" s="11" t="n">
        <v>3533</v>
      </c>
      <c r="E14" s="12" t="n">
        <v>0.2056</v>
      </c>
      <c r="H14" s="13" t="n">
        <v>0.1127</v>
      </c>
    </row>
    <row r="15">
      <c r="B15" s="10" t="inlineStr">
        <is>
          <t>Positive (employment growing)</t>
        </is>
      </c>
      <c r="C15" s="11" t="n">
        <v>23990</v>
      </c>
      <c r="D15" s="11" t="n">
        <v>1106</v>
      </c>
      <c r="E15" s="12" t="n">
        <v>0.0461</v>
      </c>
      <c r="H15" s="13" t="n">
        <v>0.1127</v>
      </c>
    </row>
    <row r="18">
      <c r="B18" s="8" t="inlineStr">
        <is>
          <t>Note: Euribor and employment-variation rate likely reflect the same underlying economic era rather than two independent confirmations.</t>
        </is>
      </c>
    </row>
    <row r="19">
      <c r="B19" s="8" t="inlineStr">
        <is>
          <t>Consumer confidence index did not show a clean trend and was not used in the recommendation.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2026-07-28T20:09:19Z</dcterms:created>
  <dcterms:modified xmlns:dcterms="http://purl.org/dc/terms/" xmlns:xsi="http://www.w3.org/2001/XMLSchema-instance" xsi:type="dcterms:W3CDTF">2026-07-28T20:09:19Z</dcterms:modified>
</cp:coreProperties>
</file>